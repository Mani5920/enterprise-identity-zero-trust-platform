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484893067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68051d74bae1489e"/>
    <x:sheet xmlns:r="http://schemas.openxmlformats.org/officeDocument/2006/relationships" name="Test Cases" sheetId="2" r:id="R663a3e84ef0042dd"/>
    <x:sheet xmlns:r="http://schemas.openxmlformats.org/officeDocument/2006/relationships" name="Risk Register" sheetId="3" r:id="R0bd4517d6ee34c86"/>
    <x:sheet xmlns:r="http://schemas.openxmlformats.org/officeDocument/2006/relationships" name="Evidence Tracker" sheetId="4" r:id="R5b2cdf3b2f4f4b31"/>
    <x:sheet xmlns:r="http://schemas.openxmlformats.org/officeDocument/2006/relationships" name="Dashboard" sheetId="5" r:id="Rc96dd9217ca0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47b026c0d4643" /><Relationship Type="http://schemas.openxmlformats.org/officeDocument/2006/relationships/theme" Target="/xl/theme/theme1.xml" Id="R21cd7ad56de34aac" /><Relationship Type="http://schemas.openxmlformats.org/officeDocument/2006/relationships/sharedStrings" Target="/xl/sharedStrings.xml" Id="R114727726dc64409" /><Relationship Type="http://schemas.openxmlformats.org/officeDocument/2006/relationships/worksheet" Target="/xl/worksheets/sheet1.xml" Id="R68051d74bae1489e" /><Relationship Type="http://schemas.openxmlformats.org/officeDocument/2006/relationships/worksheet" Target="/xl/worksheets/sheet2.xml" Id="R663a3e84ef0042dd" /><Relationship Type="http://schemas.openxmlformats.org/officeDocument/2006/relationships/worksheet" Target="/xl/worksheets/sheet3.xml" Id="R0bd4517d6ee34c86" /><Relationship Type="http://schemas.openxmlformats.org/officeDocument/2006/relationships/worksheet" Target="/xl/worksheets/sheet4.xml" Id="R5b2cdf3b2f4f4b31" /><Relationship Type="http://schemas.openxmlformats.org/officeDocument/2006/relationships/worksheet" Target="/xl/worksheets/sheet5.xml" Id="Rc96dd9217ca049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c86adb66984c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c86adb66984c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e7da8d6786d42a1" /></Relationships>
</file>

<file path=xl/worksheets/sheet1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24" hidden="0" customWidth="1"/>
    <x:col min="3" max="3" width="24" hidden="0" customWidth="1"/>
    <x:col min="4" max="4" width="9.630000114440918" hidden="0" customWidth="1"/>
    <x:col min="5" max="5" width="9.130000114440918" hidden="0" customWidth="1"/>
    <x:col min="6" max="6" width="6.880000114440918" hidden="0" customWidth="1"/>
    <x:col min="7" max="7" width="8.25" hidden="0" customWidth="1"/>
    <x:col min="8" max="8" width="7.630000114440918" hidden="0" customWidth="1"/>
  </x:cols>
  <x:sheetData>
    <x:row r="1" ht="15" hidden="0" customHeight="1">
      <x:c r="A1" s="18" t="str">
        <x:v>ID</x:v>
      </x:c>
      <x:c r="B1" s="18" t="str">
        <x:v>Workstream</x:v>
      </x:c>
      <x:c r="C1" s="18" t="str">
        <x:v>Task</x:v>
      </x:c>
      <x:c r="D1" s="18" t="str">
        <x:v>Owner</x:v>
      </x:c>
      <x:c r="E1" s="18" t="str">
        <x:v>Status</x:v>
      </x:c>
      <x:c r="F1" s="18" t="str">
        <x:v>Priority</x:v>
      </x:c>
      <x:c r="G1" s="18" t="str">
        <x:v>Start Date</x:v>
      </x:c>
      <x:c r="H1" s="18" t="str">
        <x:v>Due Date</x:v>
      </x:c>
    </x:row>
    <x:row r="2" ht="15" hidden="0" customHeight="1">
      <x:c r="A2" s="19" t="str">
        <x:v>P-001</x:v>
      </x:c>
      <x:c r="B2" s="19" t="str">
        <x:v>Governance</x:v>
      </x:c>
      <x:c r="C2" s="19" t="str">
        <x:v>Review publication checklist</x:v>
      </x:c>
      <x:c r="D2" s="19" t="str">
        <x:v>Mani Kumar</x:v>
      </x:c>
      <x:c r="E2" s="19" t="str">
        <x:v>Not Started</x:v>
      </x:c>
      <x:c r="F2" s="19" t="str">
        <x:v>High</x:v>
      </x:c>
      <x:c r="G2" s="24" t="n">
        <x:v>46232</x:v>
      </x:c>
      <x:c r="H2" s="24" t="n">
        <x:v>46233</x:v>
      </x:c>
    </x:row>
    <x:row r="3" ht="15" hidden="0" customHeight="1">
      <x:c r="A3" s="19" t="str">
        <x:v>P-002</x:v>
      </x:c>
      <x:c r="B3" s="19" t="str">
        <x:v>Azure</x:v>
      </x:c>
      <x:c r="C3" s="19" t="str">
        <x:v>Create personal Azure lab resources</x:v>
      </x:c>
      <x:c r="D3" s="19" t="str">
        <x:v>Mani Kumar</x:v>
      </x:c>
      <x:c r="E3" s="19" t="str">
        <x:v>Not Started</x:v>
      </x:c>
      <x:c r="F3" s="19" t="str">
        <x:v>High</x:v>
      </x:c>
      <x:c r="G3" s="24" t="n">
        <x:v>46234</x:v>
      </x:c>
      <x:c r="H3" s="24" t="n">
        <x:v>46237</x:v>
      </x:c>
    </x:row>
    <x:row r="4" ht="15" hidden="0" customHeight="1">
      <x:c r="A4" s="19" t="str">
        <x:v>P-003</x:v>
      </x:c>
      <x:c r="B4" s="19" t="str">
        <x:v>Identity</x:v>
      </x:c>
      <x:c r="C4" s="19" t="str">
        <x:v>Create synthetic users and groups</x:v>
      </x:c>
      <x:c r="D4" s="19" t="str">
        <x:v>Mani Kumar</x:v>
      </x:c>
      <x:c r="E4" s="19" t="str">
        <x:v>Not Started</x:v>
      </x:c>
      <x:c r="F4" s="19" t="str">
        <x:v>High</x:v>
      </x:c>
      <x:c r="G4" s="24" t="n">
        <x:v>46238</x:v>
      </x:c>
      <x:c r="H4" s="24" t="n">
        <x:v>46240</x:v>
      </x:c>
    </x:row>
    <x:row r="5" ht="15" hidden="0" customHeight="1">
      <x:c r="A5" s="19" t="str">
        <x:v>P-004</x:v>
      </x:c>
      <x:c r="B5" s="19" t="str">
        <x:v>Identity</x:v>
      </x:c>
      <x:c r="C5" s="19" t="str">
        <x:v>Test Conditional Access report-only policies</x:v>
      </x:c>
      <x:c r="D5" s="19" t="str">
        <x:v>Mani Kumar</x:v>
      </x:c>
      <x:c r="E5" s="19" t="str">
        <x:v>Not Started</x:v>
      </x:c>
      <x:c r="F5" s="19" t="str">
        <x:v>High</x:v>
      </x:c>
      <x:c r="G5" s="24" t="n">
        <x:v>46241</x:v>
      </x:c>
      <x:c r="H5" s="24" t="n">
        <x:v>46245</x:v>
      </x:c>
    </x:row>
    <x:row r="6" ht="15" hidden="0" customHeight="1">
      <x:c r="A6" s="19" t="str">
        <x:v>P-005</x:v>
      </x:c>
      <x:c r="B6" s="19" t="str">
        <x:v>PKI</x:v>
      </x:c>
      <x:c r="C6" s="19" t="str">
        <x:v>Execute root and issuing CA lab scripts</x:v>
      </x:c>
      <x:c r="D6" s="19" t="str">
        <x:v>Mani Kumar</x:v>
      </x:c>
      <x:c r="E6" s="19" t="str">
        <x:v>Not Started</x:v>
      </x:c>
      <x:c r="F6" s="19" t="str">
        <x:v>High</x:v>
      </x:c>
      <x:c r="G6" s="24" t="n">
        <x:v>46246</x:v>
      </x:c>
      <x:c r="H6" s="24" t="n">
        <x:v>46249</x:v>
      </x:c>
    </x:row>
    <x:row r="7" ht="15" hidden="0" customHeight="1">
      <x:c r="A7" s="19" t="str">
        <x:v>P-006</x:v>
      </x:c>
      <x:c r="B7" s="19" t="str">
        <x:v>Application</x:v>
      </x:c>
      <x:c r="C7" s="19" t="str">
        <x:v>Deploy and test FastAPI service</x:v>
      </x:c>
      <x:c r="D7" s="19" t="str">
        <x:v>Mani Kumar</x:v>
      </x:c>
      <x:c r="E7" s="19" t="str">
        <x:v>Not Started</x:v>
      </x:c>
      <x:c r="F7" s="19" t="str">
        <x:v>Medium</x:v>
      </x:c>
      <x:c r="G7" s="24" t="n">
        <x:v>46250</x:v>
      </x:c>
      <x:c r="H7" s="24" t="n">
        <x:v>46254</x:v>
      </x:c>
    </x:row>
    <x:row r="8" ht="15" hidden="0" customHeight="1">
      <x:c r="A8" s="19" t="str">
        <x:v>P-007</x:v>
      </x:c>
      <x:c r="B8" s="19" t="str">
        <x:v>Security</x:v>
      </x:c>
      <x:c r="C8" s="19" t="str">
        <x:v>Configure Key Vault and managed identity</x:v>
      </x:c>
      <x:c r="D8" s="19" t="str">
        <x:v>Mani Kumar</x:v>
      </x:c>
      <x:c r="E8" s="19" t="str">
        <x:v>Not Started</x:v>
      </x:c>
      <x:c r="F8" s="19" t="str">
        <x:v>High</x:v>
      </x:c>
      <x:c r="G8" s="24" t="n">
        <x:v>46255</x:v>
      </x:c>
      <x:c r="H8" s="24" t="n">
        <x:v>46258</x:v>
      </x:c>
    </x:row>
    <x:row r="9" ht="15" hidden="0" customHeight="1">
      <x:c r="A9" s="19" t="str">
        <x:v>P-008</x:v>
      </x:c>
      <x:c r="B9" s="19" t="str">
        <x:v>Monitoring</x:v>
      </x:c>
      <x:c r="C9" s="19" t="str">
        <x:v>Validate KQL and create Sentinel incidents</x:v>
      </x:c>
      <x:c r="D9" s="19" t="str">
        <x:v>Mani Kumar</x:v>
      </x:c>
      <x:c r="E9" s="19" t="str">
        <x:v>Not Started</x:v>
      </x:c>
      <x:c r="F9" s="19" t="str">
        <x:v>High</x:v>
      </x:c>
      <x:c r="G9" s="24" t="n">
        <x:v>46259</x:v>
      </x:c>
      <x:c r="H9" s="24" t="n">
        <x:v>46263</x:v>
      </x:c>
    </x:row>
    <x:row r="10" ht="15" hidden="0" customHeight="1">
      <x:c r="A10" s="19" t="str">
        <x:v>P-009</x:v>
      </x:c>
      <x:c r="B10" s="19" t="str">
        <x:v>Testing</x:v>
      </x:c>
      <x:c r="C10" s="19" t="str">
        <x:v>Execute and record test cases</x:v>
      </x:c>
      <x:c r="D10" s="19" t="str">
        <x:v>Mani Kumar</x:v>
      </x:c>
      <x:c r="E10" s="19" t="str">
        <x:v>Not Started</x:v>
      </x:c>
      <x:c r="F10" s="19" t="str">
        <x:v>High</x:v>
      </x:c>
      <x:c r="G10" s="24" t="n">
        <x:v>46264</x:v>
      </x:c>
      <x:c r="H10" s="24" t="n">
        <x:v>46268</x:v>
      </x:c>
    </x:row>
    <x:row r="11" ht="15" hidden="0" customHeight="1">
      <x:c r="A11" s="19" t="str">
        <x:v>P-010</x:v>
      </x:c>
      <x:c r="B11" s="19" t="str">
        <x:v>Portfolio</x:v>
      </x:c>
      <x:c r="C11" s="19" t="str">
        <x:v>Add redacted screenshots and demo video</x:v>
      </x:c>
      <x:c r="D11" s="19" t="str">
        <x:v>Mani Kumar</x:v>
      </x:c>
      <x:c r="E11" s="19" t="str">
        <x:v>Not Started</x:v>
      </x:c>
      <x:c r="F11" s="19" t="str">
        <x:v>Medium</x:v>
      </x:c>
      <x:c r="G11" s="24" t="n">
        <x:v>46269</x:v>
      </x:c>
      <x:c r="H11" s="24" t="n">
        <x:v>46272</x:v>
      </x:c>
    </x:row>
    <x:row r="12">
      <x:c r="G12" s="25"/>
      <x:c r="H12" s="25"/>
    </x:row>
    <x:row r="13">
      <x:c r="G13" s="25"/>
      <x:c r="H13" s="25"/>
    </x:row>
    <x:row r="14">
      <x:c r="G14" s="25"/>
      <x:c r="H14" s="25"/>
    </x:row>
    <x:row r="15">
      <x:c r="G15" s="25"/>
      <x:c r="H15" s="25"/>
    </x:row>
    <x:row r="16">
      <x:c r="G16" s="25"/>
      <x:c r="H16" s="25"/>
    </x:row>
    <x:row r="17">
      <x:c r="G17" s="25"/>
      <x:c r="H17" s="25"/>
    </x:row>
    <x:row r="18">
      <x:c r="G18" s="25"/>
      <x:c r="H18" s="25"/>
    </x:row>
    <x:row r="19">
      <x:c r="G19" s="25"/>
      <x:c r="H19" s="25"/>
    </x:row>
    <x:row r="20">
      <x:c r="G20" s="25"/>
      <x:c r="H20" s="25"/>
    </x:row>
    <x:row r="21">
      <x:c r="G21" s="25"/>
      <x:c r="H21" s="25"/>
    </x:row>
    <x:row r="22">
      <x:c r="G22" s="25"/>
      <x:c r="H22" s="25"/>
    </x:row>
    <x:row r="23">
      <x:c r="G23" s="25"/>
      <x:c r="H23" s="25"/>
    </x:row>
    <x:row r="24">
      <x:c r="G24" s="25"/>
      <x:c r="H24" s="25"/>
    </x:row>
    <x:row r="25">
      <x:c r="G25" s="25"/>
      <x:c r="H25" s="25"/>
    </x:row>
    <x:row r="26">
      <x:c r="G26" s="25"/>
      <x:c r="H26" s="25"/>
    </x:row>
    <x:row r="27">
      <x:c r="G27" s="25"/>
      <x:c r="H27" s="25"/>
    </x:row>
    <x:row r="28">
      <x:c r="G28" s="25"/>
      <x:c r="H28" s="25"/>
    </x:row>
    <x:row r="29">
      <x:c r="G29" s="25"/>
      <x:c r="H29" s="25"/>
    </x:row>
    <x:row r="30">
      <x:c r="G30" s="25"/>
      <x:c r="H30" s="25"/>
    </x:row>
    <x:row r="31">
      <x:c r="G31" s="25"/>
      <x:c r="H31" s="25"/>
    </x:row>
    <x:row r="32">
      <x:c r="G32" s="25"/>
      <x:c r="H32" s="25"/>
    </x:row>
    <x:row r="33">
      <x:c r="G33" s="25"/>
      <x:c r="H33" s="25"/>
    </x:row>
    <x:row r="34">
      <x:c r="G34" s="25"/>
      <x:c r="H34" s="25"/>
    </x:row>
    <x:row r="35">
      <x:c r="G35" s="25"/>
      <x:c r="H35" s="25"/>
    </x:row>
    <x:row r="36">
      <x:c r="G36" s="25"/>
      <x:c r="H36" s="25"/>
    </x:row>
    <x:row r="37">
      <x:c r="G37" s="25"/>
      <x:c r="H37" s="25"/>
    </x:row>
    <x:row r="38">
      <x:c r="G38" s="25"/>
      <x:c r="H38" s="25"/>
    </x:row>
    <x:row r="39">
      <x:c r="G39" s="25"/>
      <x:c r="H39" s="25"/>
    </x:row>
    <x:row r="40">
      <x:c r="G40" s="25"/>
      <x:c r="H40" s="25"/>
    </x:row>
    <x:row r="41">
      <x:c r="G41" s="25"/>
      <x:c r="H41" s="25"/>
    </x:row>
    <x:row r="42">
      <x:c r="G42" s="25"/>
      <x:c r="H42" s="25"/>
    </x:row>
    <x:row r="43">
      <x:c r="G43" s="25"/>
      <x:c r="H43" s="25"/>
    </x:row>
    <x:row r="44">
      <x:c r="G44" s="25"/>
      <x:c r="H44" s="25"/>
    </x:row>
    <x:row r="45">
      <x:c r="G45" s="25"/>
      <x:c r="H45" s="25"/>
    </x:row>
    <x:row r="46">
      <x:c r="G46" s="25"/>
      <x:c r="H46" s="25"/>
    </x:row>
    <x:row r="47">
      <x:c r="G47" s="25"/>
      <x:c r="H47" s="25"/>
    </x:row>
    <x:row r="48">
      <x:c r="G48" s="25"/>
      <x:c r="H48" s="25"/>
    </x:row>
    <x:row r="49">
      <x:c r="G49" s="25"/>
      <x:c r="H49" s="25"/>
    </x:row>
    <x:row r="50">
      <x:c r="G50" s="25"/>
      <x:c r="H50" s="25"/>
    </x:row>
    <x:row r="51">
      <x:c r="G51" s="25"/>
      <x:c r="H51" s="25"/>
    </x:row>
    <x:row r="52">
      <x:c r="G52" s="25"/>
      <x:c r="H52" s="25"/>
    </x:row>
    <x:row r="53">
      <x:c r="G53" s="25"/>
      <x:c r="H53" s="25"/>
    </x:row>
    <x:row r="54">
      <x:c r="G54" s="25"/>
      <x:c r="H54" s="25"/>
    </x:row>
    <x:row r="55">
      <x:c r="G55" s="25"/>
      <x:c r="H55" s="25"/>
    </x:row>
    <x:row r="56">
      <x:c r="G56" s="25"/>
      <x:c r="H56" s="25"/>
    </x:row>
    <x:row r="57">
      <x:c r="G57" s="25"/>
      <x:c r="H57" s="25"/>
    </x:row>
    <x:row r="58">
      <x:c r="G58" s="25"/>
      <x:c r="H58" s="25"/>
    </x:row>
    <x:row r="59">
      <x:c r="G59" s="25"/>
      <x:c r="H59" s="25"/>
    </x:row>
    <x:row r="60">
      <x:c r="G60" s="25"/>
      <x:c r="H60" s="25"/>
    </x:row>
    <x:row r="61">
      <x:c r="G61" s="25"/>
      <x:c r="H61" s="25"/>
    </x:row>
    <x:row r="62">
      <x:c r="G62" s="25"/>
      <x:c r="H62" s="25"/>
    </x:row>
    <x:row r="63">
      <x:c r="G63" s="25"/>
      <x:c r="H63" s="25"/>
    </x:row>
    <x:row r="64">
      <x:c r="G64" s="25"/>
      <x:c r="H64" s="25"/>
    </x:row>
    <x:row r="65">
      <x:c r="G65" s="25"/>
      <x:c r="H65" s="25"/>
    </x:row>
    <x:row r="66">
      <x:c r="G66" s="25"/>
      <x:c r="H66" s="25"/>
    </x:row>
    <x:row r="67">
      <x:c r="G67" s="25"/>
      <x:c r="H67" s="25"/>
    </x:row>
    <x:row r="68">
      <x:c r="G68" s="25"/>
      <x:c r="H68" s="25"/>
    </x:row>
    <x:row r="69">
      <x:c r="G69" s="25"/>
      <x:c r="H69" s="25"/>
    </x:row>
    <x:row r="70">
      <x:c r="G70" s="25"/>
      <x:c r="H70" s="25"/>
    </x:row>
    <x:row r="71">
      <x:c r="G71" s="25"/>
      <x:c r="H71" s="25"/>
    </x:row>
    <x:row r="72">
      <x:c r="G72" s="25"/>
      <x:c r="H72" s="25"/>
    </x:row>
    <x:row r="73">
      <x:c r="G73" s="25"/>
      <x:c r="H73" s="25"/>
    </x:row>
    <x:row r="74">
      <x:c r="G74" s="25"/>
      <x:c r="H74" s="25"/>
    </x:row>
    <x:row r="75">
      <x:c r="G75" s="25"/>
      <x:c r="H75" s="25"/>
    </x:row>
    <x:row r="76">
      <x:c r="G76" s="25"/>
      <x:c r="H76" s="25"/>
    </x:row>
    <x:row r="77">
      <x:c r="G77" s="25"/>
      <x:c r="H77" s="25"/>
    </x:row>
    <x:row r="78">
      <x:c r="G78" s="25"/>
      <x:c r="H78" s="25"/>
    </x:row>
    <x:row r="79">
      <x:c r="G79" s="25"/>
      <x:c r="H79" s="25"/>
    </x:row>
    <x:row r="80">
      <x:c r="G80" s="25"/>
      <x:c r="H80" s="25"/>
    </x:row>
    <x:row r="81">
      <x:c r="G81" s="25"/>
      <x:c r="H81" s="25"/>
    </x:row>
    <x:row r="82">
      <x:c r="G82" s="25"/>
      <x:c r="H82" s="25"/>
    </x:row>
    <x:row r="83">
      <x:c r="G83" s="25"/>
      <x:c r="H83" s="25"/>
    </x:row>
    <x:row r="84">
      <x:c r="G84" s="25"/>
      <x:c r="H84" s="25"/>
    </x:row>
    <x:row r="85">
      <x:c r="G85" s="25"/>
      <x:c r="H85" s="25"/>
    </x:row>
    <x:row r="86">
      <x:c r="G86" s="25"/>
      <x:c r="H86" s="25"/>
    </x:row>
    <x:row r="87">
      <x:c r="G87" s="25"/>
      <x:c r="H87" s="25"/>
    </x:row>
    <x:row r="88">
      <x:c r="G88" s="25"/>
      <x:c r="H88" s="25"/>
    </x:row>
    <x:row r="89">
      <x:c r="G89" s="25"/>
      <x:c r="H89" s="25"/>
    </x:row>
    <x:row r="90">
      <x:c r="G90" s="25"/>
      <x:c r="H90" s="25"/>
    </x:row>
    <x:row r="91">
      <x:c r="G91" s="25"/>
      <x:c r="H91" s="25"/>
    </x:row>
    <x:row r="92">
      <x:c r="G92" s="25"/>
      <x:c r="H92" s="25"/>
    </x:row>
    <x:row r="93">
      <x:c r="G93" s="25"/>
      <x:c r="H93" s="25"/>
    </x:row>
    <x:row r="94">
      <x:c r="G94" s="25"/>
      <x:c r="H94" s="25"/>
    </x:row>
    <x:row r="95">
      <x:c r="G95" s="25"/>
      <x:c r="H95" s="25"/>
    </x:row>
    <x:row r="96">
      <x:c r="G96" s="25"/>
      <x:c r="H96" s="25"/>
    </x:row>
    <x:row r="97">
      <x:c r="G97" s="25"/>
      <x:c r="H97" s="25"/>
    </x:row>
    <x:row r="98">
      <x:c r="G98" s="25"/>
      <x:c r="H98" s="25"/>
    </x:row>
    <x:row r="99">
      <x:c r="G99" s="25"/>
      <x:c r="H99" s="25"/>
    </x:row>
    <x:row r="100">
      <x:c r="G100" s="25"/>
      <x:c r="H100" s="25"/>
    </x:row>
  </x:sheetData>
  <x:conditionalFormatting sqref="E2:E100">
    <x:cfRule type="expression" dxfId="0" priority="1">
      <x:formula>E2="Completed"</x:formula>
    </x:cfRule>
    <x:cfRule type="expression" dxfId="1" priority="2">
      <x:formula>E2="Blocked"</x:formula>
    </x:cfRule>
  </x:conditionalFormatting>
  <x:dataValidations count="2">
    <x:dataValidation type="list" sqref="E2:E100">
      <x:formula1>"Not Started,In Progress,Blocked,Completed"</x:formula1>
    </x:dataValidation>
    <x:dataValidation type="list" sqref="F2:F100">
      <x:formula1>"Low,Medium,High,Critical"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32" hidden="0" customWidth="1"/>
    <x:col min="3" max="3" width="32" hidden="0" customWidth="1"/>
    <x:col min="4" max="4" width="10.5" hidden="0" customWidth="1"/>
    <x:col min="5" max="5" width="10.75" hidden="0" customWidth="1"/>
    <x:col min="6" max="6" width="9.630000114440918" hidden="0" customWidth="1"/>
    <x:col min="7" max="7" width="7.630000114440918" hidden="0" customWidth="1"/>
  </x:cols>
  <x:sheetData>
    <x:row r="1" ht="15" hidden="0" customHeight="1">
      <x:c r="A1" s="18" t="str">
        <x:v>Test ID</x:v>
      </x:c>
      <x:c r="B1" s="18" t="str">
        <x:v>Scenario</x:v>
      </x:c>
      <x:c r="C1" s="18" t="str">
        <x:v>Expected Result</x:v>
      </x:c>
      <x:c r="D1" s="18" t="str">
        <x:v>Status</x:v>
      </x:c>
      <x:c r="E1" s="18" t="str">
        <x:v>Evidence Link</x:v>
      </x:c>
      <x:c r="F1" s="18" t="str">
        <x:v>Tester</x:v>
      </x:c>
      <x:c r="G1" s="18" t="str">
        <x:v>Test Date</x:v>
      </x:c>
    </x:row>
    <x:row r="2" ht="15" hidden="0" customHeight="1">
      <x:c r="A2" s="19" t="str">
        <x:v>TC-001</x:v>
      </x:c>
      <x:c r="B2" s="19" t="str">
        <x:v>Employee signs in with MFA</x:v>
      </x:c>
      <x:c r="C2" s="19" t="str">
        <x:v>Access allowed</x:v>
      </x:c>
      <x:c r="D2" s="19" t="str">
        <x:v>Not Executed</x:v>
      </x:c>
      <x:c r="E2" s="19" t="str"/>
      <x:c r="F2" s="19" t="str">
        <x:v>Mani Kumar</x:v>
      </x:c>
      <x:c r="G2" s="24"/>
    </x:row>
    <x:row r="3" ht="15" hidden="0" customHeight="1">
      <x:c r="A3" s="19" t="str">
        <x:v>TC-002</x:v>
      </x:c>
      <x:c r="B3" s="19" t="str">
        <x:v>MFA failure</x:v>
      </x:c>
      <x:c r="C3" s="19" t="str">
        <x:v>Access denied</x:v>
      </x:c>
      <x:c r="D3" s="19" t="str">
        <x:v>Not Executed</x:v>
      </x:c>
      <x:c r="E3" s="19" t="str"/>
      <x:c r="F3" s="19" t="str">
        <x:v>Mani Kumar</x:v>
      </x:c>
      <x:c r="G3" s="24"/>
    </x:row>
    <x:row r="4" ht="15" hidden="0" customHeight="1">
      <x:c r="A4" s="19" t="str">
        <x:v>TC-003</x:v>
      </x:c>
      <x:c r="B4" s="19" t="str">
        <x:v>HR user requests finance access</x:v>
      </x:c>
      <x:c r="C4" s="19" t="str">
        <x:v>Denied and logged</x:v>
      </x:c>
      <x:c r="D4" s="19" t="str">
        <x:v>Not Executed</x:v>
      </x:c>
      <x:c r="E4" s="19" t="str"/>
      <x:c r="F4" s="19" t="str">
        <x:v>Mani Kumar</x:v>
      </x:c>
      <x:c r="G4" s="24"/>
    </x:row>
    <x:row r="5" ht="15" hidden="0" customHeight="1">
      <x:c r="A5" s="19" t="str">
        <x:v>TC-004</x:v>
      </x:c>
      <x:c r="B5" s="19" t="str">
        <x:v>Normal account requests admin function</x:v>
      </x:c>
      <x:c r="C5" s="19" t="str">
        <x:v>Access denied</x:v>
      </x:c>
      <x:c r="D5" s="19" t="str">
        <x:v>Not Executed</x:v>
      </x:c>
      <x:c r="E5" s="19" t="str"/>
      <x:c r="F5" s="19" t="str">
        <x:v>Mani Kumar</x:v>
      </x:c>
      <x:c r="G5" s="24"/>
    </x:row>
    <x:row r="6" ht="15" hidden="0" customHeight="1">
      <x:c r="A6" s="19" t="str">
        <x:v>TC-005</x:v>
      </x:c>
      <x:c r="B6" s="19" t="str">
        <x:v>Workload reads approved secret</x:v>
      </x:c>
      <x:c r="C6" s="19" t="str">
        <x:v>Access allowed</x:v>
      </x:c>
      <x:c r="D6" s="19" t="str">
        <x:v>Not Executed</x:v>
      </x:c>
      <x:c r="E6" s="19" t="str"/>
      <x:c r="F6" s="19" t="str">
        <x:v>Mani Kumar</x:v>
      </x:c>
      <x:c r="G6" s="24"/>
    </x:row>
    <x:row r="7" ht="15" hidden="0" customHeight="1">
      <x:c r="A7" s="19" t="str">
        <x:v>TC-006</x:v>
      </x:c>
      <x:c r="B7" s="19" t="str">
        <x:v>Workload reads unrelated secret</x:v>
      </x:c>
      <x:c r="C7" s="19" t="str">
        <x:v>Denied and logged</x:v>
      </x:c>
      <x:c r="D7" s="19" t="str">
        <x:v>Not Executed</x:v>
      </x:c>
      <x:c r="E7" s="19" t="str"/>
      <x:c r="F7" s="19" t="str">
        <x:v>Mani Kumar</x:v>
      </x:c>
      <x:c r="G7" s="24"/>
    </x:row>
    <x:row r="8" ht="15" hidden="0" customHeight="1">
      <x:c r="A8" s="19" t="str">
        <x:v>TC-007</x:v>
      </x:c>
      <x:c r="B8" s="19" t="str">
        <x:v>Valid client certificate calls API</x:v>
      </x:c>
      <x:c r="C8" s="19" t="str">
        <x:v>Access allowed</x:v>
      </x:c>
      <x:c r="D8" s="19" t="str">
        <x:v>Not Executed</x:v>
      </x:c>
      <x:c r="E8" s="19" t="str"/>
      <x:c r="F8" s="19" t="str">
        <x:v>Mani Kumar</x:v>
      </x:c>
      <x:c r="G8" s="24"/>
    </x:row>
    <x:row r="9" ht="15" hidden="0" customHeight="1">
      <x:c r="A9" s="19" t="str">
        <x:v>TC-008</x:v>
      </x:c>
      <x:c r="B9" s="19" t="str">
        <x:v>Revoked certificate calls API</x:v>
      </x:c>
      <x:c r="C9" s="19" t="str">
        <x:v>Denied and detected</x:v>
      </x:c>
      <x:c r="D9" s="19" t="str">
        <x:v>Not Executed</x:v>
      </x:c>
      <x:c r="E9" s="19" t="str"/>
      <x:c r="F9" s="19" t="str">
        <x:v>Mani Kumar</x:v>
      </x:c>
      <x:c r="G9" s="24"/>
    </x:row>
    <x:row r="10" ht="15" hidden="0" customHeight="1">
      <x:c r="A10" s="19" t="str">
        <x:v>TC-009</x:v>
      </x:c>
      <x:c r="B10" s="19" t="str">
        <x:v>Legacy authentication attempt</x:v>
      </x:c>
      <x:c r="C10" s="19" t="str">
        <x:v>Blocked</x:v>
      </x:c>
      <x:c r="D10" s="19" t="str">
        <x:v>Not Executed</x:v>
      </x:c>
      <x:c r="E10" s="19" t="str"/>
      <x:c r="F10" s="19" t="str">
        <x:v>Mani Kumar</x:v>
      </x:c>
      <x:c r="G10" s="24"/>
    </x:row>
    <x:row r="11" ht="15" hidden="0" customHeight="1">
      <x:c r="A11" s="19" t="str">
        <x:v>TC-010</x:v>
      </x:c>
      <x:c r="B11" s="19" t="str">
        <x:v>Repeated sign-in failures</x:v>
      </x:c>
      <x:c r="C11" s="19" t="str">
        <x:v>Sentinel incident created</x:v>
      </x:c>
      <x:c r="D11" s="19" t="str">
        <x:v>Not Executed</x:v>
      </x:c>
      <x:c r="E11" s="19" t="str"/>
      <x:c r="F11" s="19" t="str">
        <x:v>Mani Kumar</x:v>
      </x:c>
      <x:c r="G11" s="24"/>
    </x:row>
    <x:row r="12" ht="15" hidden="0" customHeight="1">
      <x:c r="A12" s="19" t="str">
        <x:v>TC-011</x:v>
      </x:c>
      <x:c r="B12" s="19" t="str">
        <x:v>Certificate near expiry</x:v>
      </x:c>
      <x:c r="C12" s="19" t="str">
        <x:v>Alert created</x:v>
      </x:c>
      <x:c r="D12" s="19" t="str">
        <x:v>Not Executed</x:v>
      </x:c>
      <x:c r="E12" s="19" t="str"/>
      <x:c r="F12" s="19" t="str">
        <x:v>Mani Kumar</x:v>
      </x:c>
      <x:c r="G12" s="24"/>
    </x:row>
    <x:row r="13" ht="15" hidden="0" customHeight="1">
      <x:c r="A13" s="19" t="str">
        <x:v>TC-012</x:v>
      </x:c>
      <x:c r="B13" s="19" t="str">
        <x:v>Conditional Access policy changed</x:v>
      </x:c>
      <x:c r="C13" s="19" t="str">
        <x:v>Audit detection created</x:v>
      </x:c>
      <x:c r="D13" s="19" t="str">
        <x:v>Not Executed</x:v>
      </x:c>
      <x:c r="E13" s="19" t="str"/>
      <x:c r="F13" s="19" t="str">
        <x:v>Mani Kumar</x:v>
      </x:c>
      <x:c r="G13" s="24"/>
    </x:row>
    <x:row r="14">
      <x:c r="G14" s="25"/>
    </x:row>
    <x:row r="15">
      <x:c r="G15" s="25"/>
    </x:row>
    <x:row r="16">
      <x:c r="G16" s="25"/>
    </x:row>
    <x:row r="17">
      <x:c r="G17" s="25"/>
    </x:row>
    <x:row r="18">
      <x:c r="G18" s="25"/>
    </x:row>
    <x:row r="19">
      <x:c r="G19" s="25"/>
    </x:row>
    <x:row r="20">
      <x:c r="G20" s="25"/>
    </x:row>
    <x:row r="21">
      <x:c r="G21" s="25"/>
    </x:row>
    <x:row r="22">
      <x:c r="G22" s="25"/>
    </x:row>
    <x:row r="23">
      <x:c r="G23" s="25"/>
    </x:row>
    <x:row r="24">
      <x:c r="G24" s="25"/>
    </x:row>
    <x:row r="25">
      <x:c r="G25" s="25"/>
    </x:row>
    <x:row r="26">
      <x:c r="G26" s="25"/>
    </x:row>
    <x:row r="27">
      <x:c r="G27" s="25"/>
    </x:row>
    <x:row r="28">
      <x:c r="G28" s="25"/>
    </x:row>
    <x:row r="29">
      <x:c r="G29" s="25"/>
    </x:row>
    <x:row r="30">
      <x:c r="G30" s="25"/>
    </x:row>
    <x:row r="31">
      <x:c r="G31" s="25"/>
    </x:row>
    <x:row r="32">
      <x:c r="G32" s="25"/>
    </x:row>
    <x:row r="33">
      <x:c r="G33" s="25"/>
    </x:row>
    <x:row r="34">
      <x:c r="G34" s="25"/>
    </x:row>
    <x:row r="35">
      <x:c r="G35" s="25"/>
    </x:row>
    <x:row r="36">
      <x:c r="G36" s="25"/>
    </x:row>
    <x:row r="37">
      <x:c r="G37" s="25"/>
    </x:row>
    <x:row r="38">
      <x:c r="G38" s="25"/>
    </x:row>
    <x:row r="39">
      <x:c r="G39" s="25"/>
    </x:row>
    <x:row r="40">
      <x:c r="G40" s="25"/>
    </x:row>
    <x:row r="41">
      <x:c r="G41" s="25"/>
    </x:row>
    <x:row r="42">
      <x:c r="G42" s="25"/>
    </x:row>
    <x:row r="43">
      <x:c r="G43" s="25"/>
    </x:row>
    <x:row r="44">
      <x:c r="G44" s="25"/>
    </x:row>
    <x:row r="45">
      <x:c r="G45" s="25"/>
    </x:row>
    <x:row r="46">
      <x:c r="G46" s="25"/>
    </x:row>
    <x:row r="47">
      <x:c r="G47" s="25"/>
    </x:row>
    <x:row r="48">
      <x:c r="G48" s="25"/>
    </x:row>
    <x:row r="49">
      <x:c r="G49" s="25"/>
    </x:row>
    <x:row r="50">
      <x:c r="G50" s="25"/>
    </x:row>
    <x:row r="51">
      <x:c r="G51" s="25"/>
    </x:row>
    <x:row r="52">
      <x:c r="G52" s="25"/>
    </x:row>
    <x:row r="53">
      <x:c r="G53" s="25"/>
    </x:row>
    <x:row r="54">
      <x:c r="G54" s="25"/>
    </x:row>
    <x:row r="55">
      <x:c r="G55" s="25"/>
    </x:row>
    <x:row r="56">
      <x:c r="G56" s="25"/>
    </x:row>
    <x:row r="57">
      <x:c r="G57" s="25"/>
    </x:row>
    <x:row r="58">
      <x:c r="G58" s="25"/>
    </x:row>
    <x:row r="59">
      <x:c r="G59" s="25"/>
    </x:row>
    <x:row r="60">
      <x:c r="G60" s="25"/>
    </x:row>
    <x:row r="61">
      <x:c r="G61" s="25"/>
    </x:row>
    <x:row r="62">
      <x:c r="G62" s="25"/>
    </x:row>
    <x:row r="63">
      <x:c r="G63" s="25"/>
    </x:row>
    <x:row r="64">
      <x:c r="G64" s="25"/>
    </x:row>
    <x:row r="65">
      <x:c r="G65" s="25"/>
    </x:row>
    <x:row r="66">
      <x:c r="G66" s="25"/>
    </x:row>
    <x:row r="67">
      <x:c r="G67" s="25"/>
    </x:row>
    <x:row r="68">
      <x:c r="G68" s="25"/>
    </x:row>
    <x:row r="69">
      <x:c r="G69" s="25"/>
    </x:row>
    <x:row r="70">
      <x:c r="G70" s="25"/>
    </x:row>
    <x:row r="71">
      <x:c r="G71" s="25"/>
    </x:row>
    <x:row r="72">
      <x:c r="G72" s="25"/>
    </x:row>
    <x:row r="73">
      <x:c r="G73" s="25"/>
    </x:row>
    <x:row r="74">
      <x:c r="G74" s="25"/>
    </x:row>
    <x:row r="75">
      <x:c r="G75" s="25"/>
    </x:row>
    <x:row r="76">
      <x:c r="G76" s="25"/>
    </x:row>
    <x:row r="77">
      <x:c r="G77" s="25"/>
    </x:row>
    <x:row r="78">
      <x:c r="G78" s="25"/>
    </x:row>
    <x:row r="79">
      <x:c r="G79" s="25"/>
    </x:row>
    <x:row r="80">
      <x:c r="G80" s="25"/>
    </x:row>
    <x:row r="81">
      <x:c r="G81" s="25"/>
    </x:row>
    <x:row r="82">
      <x:c r="G82" s="25"/>
    </x:row>
    <x:row r="83">
      <x:c r="G83" s="25"/>
    </x:row>
    <x:row r="84">
      <x:c r="G84" s="25"/>
    </x:row>
    <x:row r="85">
      <x:c r="G85" s="25"/>
    </x:row>
    <x:row r="86">
      <x:c r="G86" s="25"/>
    </x:row>
    <x:row r="87">
      <x:c r="G87" s="25"/>
    </x:row>
    <x:row r="88">
      <x:c r="G88" s="25"/>
    </x:row>
    <x:row r="89">
      <x:c r="G89" s="25"/>
    </x:row>
    <x:row r="90">
      <x:c r="G90" s="25"/>
    </x:row>
    <x:row r="91">
      <x:c r="G91" s="25"/>
    </x:row>
    <x:row r="92">
      <x:c r="G92" s="25"/>
    </x:row>
    <x:row r="93">
      <x:c r="G93" s="25"/>
    </x:row>
    <x:row r="94">
      <x:c r="G94" s="25"/>
    </x:row>
    <x:row r="95">
      <x:c r="G95" s="25"/>
    </x:row>
    <x:row r="96">
      <x:c r="G96" s="25"/>
    </x:row>
    <x:row r="97">
      <x:c r="G97" s="25"/>
    </x:row>
    <x:row r="98">
      <x:c r="G98" s="25"/>
    </x:row>
    <x:row r="99">
      <x:c r="G99" s="25"/>
    </x:row>
    <x:row r="100">
      <x:c r="G100" s="25"/>
    </x:row>
  </x:sheetData>
  <x:conditionalFormatting sqref="D2:D100">
    <x:cfRule type="expression" dxfId="2" priority="1">
      <x:formula>D2="Pass"</x:formula>
    </x:cfRule>
    <x:cfRule type="expression" dxfId="3" priority="2">
      <x:formula>D2="Fail"</x:formula>
    </x:cfRule>
  </x:conditionalFormatting>
  <x:dataValidations count="1">
    <x:dataValidation type="list" sqref="D2:D100">
      <x:formula1>"Not Executed,Pass,Fail,Blocked"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30" hidden="0" customWidth="1"/>
    <x:col min="3" max="3" width="8.380000114440918" hidden="0" customWidth="1"/>
    <x:col min="4" max="4" width="6.880000114440918" hidden="0" customWidth="1"/>
    <x:col min="5" max="5" width="6.880000114440918" hidden="0" customWidth="1"/>
    <x:col min="6" max="6" width="38" hidden="0" customWidth="1"/>
    <x:col min="7" max="7" width="9.630000114440918" hidden="0" customWidth="1"/>
  </x:cols>
  <x:sheetData>
    <x:row r="1" ht="15" hidden="0" customHeight="1">
      <x:c r="A1" s="18" t="str">
        <x:v>Risk ID</x:v>
      </x:c>
      <x:c r="B1" s="18" t="str">
        <x:v>Risk</x:v>
      </x:c>
      <x:c r="C1" s="18" t="str">
        <x:v>Likelihood</x:v>
      </x:c>
      <x:c r="D1" s="18" t="str">
        <x:v>Impact</x:v>
      </x:c>
      <x:c r="E1" s="18" t="str">
        <x:v>Rating</x:v>
      </x:c>
      <x:c r="F1" s="18" t="str">
        <x:v>Mitigation</x:v>
      </x:c>
      <x:c r="G1" s="18" t="str">
        <x:v>Owner</x:v>
      </x:c>
    </x:row>
    <x:row r="2" ht="15" hidden="0" customHeight="1">
      <x:c r="A2" s="19" t="str">
        <x:v>R-01</x:v>
      </x:c>
      <x:c r="B2" s="19" t="str">
        <x:v>Conditional Access lockout</x:v>
      </x:c>
      <x:c r="C2" s="19" t="str">
        <x:v>Medium</x:v>
      </x:c>
      <x:c r="D2" s="19" t="str">
        <x:v>High</x:v>
      </x:c>
      <x:c r="E2" s="19" t="str">
        <x:v>High</x:v>
      </x:c>
      <x:c r="F2" s="19" t="str">
        <x:v>Emergency accounts, report-only rollout, rollback</x:v>
      </x:c>
      <x:c r="G2" s="19" t="str">
        <x:v>Mani Kumar</x:v>
      </x:c>
    </x:row>
    <x:row r="3" ht="15" hidden="0" customHeight="1">
      <x:c r="A3" s="19" t="str">
        <x:v>R-02</x:v>
      </x:c>
      <x:c r="B3" s="19" t="str">
        <x:v>Private key exposure</x:v>
      </x:c>
      <x:c r="C3" s="19" t="str">
        <x:v>Low</x:v>
      </x:c>
      <x:c r="D3" s="19" t="str">
        <x:v>Critical</x:v>
      </x:c>
      <x:c r="E3" s="19" t="str">
        <x:v>High</x:v>
      </x:c>
      <x:c r="F3" s="19" t="str">
        <x:v>Offline encrypted storage, Git exclusions, revocation</x:v>
      </x:c>
      <x:c r="G3" s="19" t="str">
        <x:v>Mani Kumar</x:v>
      </x:c>
    </x:row>
    <x:row r="4" ht="15" hidden="0" customHeight="1">
      <x:c r="A4" s="19" t="str">
        <x:v>R-03</x:v>
      </x:c>
      <x:c r="B4" s="19" t="str">
        <x:v>Excessive RBAC assignment</x:v>
      </x:c>
      <x:c r="C4" s="19" t="str">
        <x:v>Medium</x:v>
      </x:c>
      <x:c r="D4" s="19" t="str">
        <x:v>High</x:v>
      </x:c>
      <x:c r="E4" s="19" t="str">
        <x:v>High</x:v>
      </x:c>
      <x:c r="F4" s="19" t="str">
        <x:v>Group assignment, review, alerting</x:v>
      </x:c>
      <x:c r="G4" s="19" t="str">
        <x:v>Mani Kumar</x:v>
      </x:c>
    </x:row>
    <x:row r="5" ht="15" hidden="0" customHeight="1">
      <x:c r="A5" s="19" t="str">
        <x:v>R-04</x:v>
      </x:c>
      <x:c r="B5" s="19" t="str">
        <x:v>Secret committed to source</x:v>
      </x:c>
      <x:c r="C5" s="19" t="str">
        <x:v>Medium</x:v>
      </x:c>
      <x:c r="D5" s="19" t="str">
        <x:v>High</x:v>
      </x:c>
      <x:c r="E5" s="19" t="str">
        <x:v>High</x:v>
      </x:c>
      <x:c r="F5" s="19" t="str">
        <x:v>Key Vault, secret scanning, gitignore</x:v>
      </x:c>
      <x:c r="G5" s="19" t="str">
        <x:v>Mani Kumar</x:v>
      </x:c>
    </x:row>
    <x:row r="6" ht="15" hidden="0" customHeight="1">
      <x:c r="A6" s="19" t="str">
        <x:v>R-05</x:v>
      </x:c>
      <x:c r="B6" s="19" t="str">
        <x:v>Sensitive data in logs</x:v>
      </x:c>
      <x:c r="C6" s="19" t="str">
        <x:v>Medium</x:v>
      </x:c>
      <x:c r="D6" s="19" t="str">
        <x:v>High</x:v>
      </x:c>
      <x:c r="E6" s="19" t="str">
        <x:v>High</x:v>
      </x:c>
      <x:c r="F6" s="19" t="str">
        <x:v>Logging standard and review</x:v>
      </x:c>
      <x:c r="G6" s="19" t="str">
        <x:v>Mani Kumar</x:v>
      </x:c>
    </x:row>
    <x:row r="7" ht="15" hidden="0" customHeight="1">
      <x:c r="A7" s="19" t="str">
        <x:v>R-06</x:v>
      </x:c>
      <x:c r="B7" s="19" t="str">
        <x:v>Alert fatigue</x:v>
      </x:c>
      <x:c r="C7" s="19" t="str">
        <x:v>Medium</x:v>
      </x:c>
      <x:c r="D7" s="19" t="str">
        <x:v>Medium</x:v>
      </x:c>
      <x:c r="E7" s="19" t="str">
        <x:v>Medium</x:v>
      </x:c>
      <x:c r="F7" s="19" t="str">
        <x:v>Threshold tuning and triage guidance</x:v>
      </x:c>
      <x:c r="G7" s="19" t="str">
        <x:v>Mani Kumar</x:v>
      </x:c>
    </x:row>
    <x:row r="8" ht="15" hidden="0" customHeight="1">
      <x:c r="A8" s="19" t="str">
        <x:v>R-07</x:v>
      </x:c>
      <x:c r="B8" s="19" t="str">
        <x:v>Terraform state exposure</x:v>
      </x:c>
      <x:c r="C8" s="19" t="str">
        <x:v>Medium</x:v>
      </x:c>
      <x:c r="D8" s="19" t="str">
        <x:v>High</x:v>
      </x:c>
      <x:c r="E8" s="19" t="str">
        <x:v>High</x:v>
      </x:c>
      <x:c r="F8" s="19" t="str">
        <x:v>Protected remote state; ignore local files</x:v>
      </x:c>
      <x:c r="G8" s="19" t="str">
        <x:v>Mani Kumar</x:v>
      </x:c>
    </x:row>
    <x:row r="9" ht="15" hidden="0" customHeight="1">
      <x:c r="A9" s="19" t="str">
        <x:v>R-08</x:v>
      </x:c>
      <x:c r="B9" s="19" t="str">
        <x:v>Unsupported portfolio claim</x:v>
      </x:c>
      <x:c r="C9" s="19" t="str">
        <x:v>Low</x:v>
      </x:c>
      <x:c r="D9" s="19" t="str">
        <x:v>High</x:v>
      </x:c>
      <x:c r="E9" s="19" t="str">
        <x:v>Medium</x:v>
      </x:c>
      <x:c r="F9" s="19" t="str">
        <x:v>Evidence labels and integrity statement</x:v>
      </x:c>
      <x:c r="G9" s="19" t="str">
        <x:v>Mani Kumar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9.75" hidden="0" customWidth="1"/>
    <x:col min="3" max="3" width="38" hidden="0" customWidth="1"/>
    <x:col min="4" max="4" width="6.25" hidden="0" customWidth="1"/>
    <x:col min="5" max="5" width="13.880000114440918" hidden="0" customWidth="1"/>
    <x:col min="6" max="6" width="7.130000114440918" hidden="0" customWidth="1"/>
  </x:cols>
  <x:sheetData>
    <x:row r="1" ht="15" hidden="0" customHeight="1">
      <x:c r="A1" s="18" t="str">
        <x:v>Evidence ID</x:v>
      </x:c>
      <x:c r="B1" s="18" t="str">
        <x:v>Area</x:v>
      </x:c>
      <x:c r="C1" s="18" t="str">
        <x:v>Required Evidence</x:v>
      </x:c>
      <x:c r="D1" s="18" t="str">
        <x:v>Status</x:v>
      </x:c>
      <x:c r="E1" s="18" t="str">
        <x:v>Public-Safe Check</x:v>
      </x:c>
      <x:c r="F1" s="18" t="str">
        <x:v>File/Link</x:v>
      </x:c>
    </x:row>
    <x:row r="2" ht="15" hidden="0" customHeight="1">
      <x:c r="A2" s="19" t="str">
        <x:v>E-001</x:v>
      </x:c>
      <x:c r="B2" s="19" t="str">
        <x:v>Architecture</x:v>
      </x:c>
      <x:c r="C2" s="19" t="str">
        <x:v>Exported high-level architecture diagram</x:v>
      </x:c>
      <x:c r="D2" s="19" t="str">
        <x:v>Missing</x:v>
      </x:c>
      <x:c r="E2" s="19" t="str">
        <x:v>Pending</x:v>
      </x:c>
      <x:c r="F2" s="19" t="str"/>
    </x:row>
    <x:row r="3" ht="15" hidden="0" customHeight="1">
      <x:c r="A3" s="19" t="str">
        <x:v>E-002</x:v>
      </x:c>
      <x:c r="B3" s="19" t="str">
        <x:v>Identity</x:v>
      </x:c>
      <x:c r="C3" s="19" t="str">
        <x:v>Redacted Conditional Access report-only result</x:v>
      </x:c>
      <x:c r="D3" s="19" t="str">
        <x:v>Missing</x:v>
      </x:c>
      <x:c r="E3" s="19" t="str">
        <x:v>Pending</x:v>
      </x:c>
      <x:c r="F3" s="19" t="str"/>
    </x:row>
    <x:row r="4" ht="15" hidden="0" customHeight="1">
      <x:c r="A4" s="19" t="str">
        <x:v>E-003</x:v>
      </x:c>
      <x:c r="B4" s="19" t="str">
        <x:v>PKI</x:v>
      </x:c>
      <x:c r="C4" s="19" t="str">
        <x:v>Certificate issuance and revocation demonstration</x:v>
      </x:c>
      <x:c r="D4" s="19" t="str">
        <x:v>Missing</x:v>
      </x:c>
      <x:c r="E4" s="19" t="str">
        <x:v>Pending</x:v>
      </x:c>
      <x:c r="F4" s="19" t="str"/>
    </x:row>
    <x:row r="5" ht="15" hidden="0" customHeight="1">
      <x:c r="A5" s="19" t="str">
        <x:v>E-004</x:v>
      </x:c>
      <x:c r="B5" s="19" t="str">
        <x:v>Application</x:v>
      </x:c>
      <x:c r="C5" s="19" t="str">
        <x:v>Allowed and denied API test output</x:v>
      </x:c>
      <x:c r="D5" s="19" t="str">
        <x:v>Missing</x:v>
      </x:c>
      <x:c r="E5" s="19" t="str">
        <x:v>Pending</x:v>
      </x:c>
      <x:c r="F5" s="19" t="str"/>
    </x:row>
    <x:row r="6" ht="15" hidden="0" customHeight="1">
      <x:c r="A6" s="19" t="str">
        <x:v>E-005</x:v>
      </x:c>
      <x:c r="B6" s="19" t="str">
        <x:v>Key Vault</x:v>
      </x:c>
      <x:c r="C6" s="19" t="str">
        <x:v>Managed identity allowed/denied access test</x:v>
      </x:c>
      <x:c r="D6" s="19" t="str">
        <x:v>Missing</x:v>
      </x:c>
      <x:c r="E6" s="19" t="str">
        <x:v>Pending</x:v>
      </x:c>
      <x:c r="F6" s="19" t="str"/>
    </x:row>
    <x:row r="7" ht="15" hidden="0" customHeight="1">
      <x:c r="A7" s="19" t="str">
        <x:v>E-006</x:v>
      </x:c>
      <x:c r="B7" s="19" t="str">
        <x:v>Sentinel</x:v>
      </x:c>
      <x:c r="C7" s="19" t="str">
        <x:v>Redacted incident screenshot</x:v>
      </x:c>
      <x:c r="D7" s="19" t="str">
        <x:v>Missing</x:v>
      </x:c>
      <x:c r="E7" s="19" t="str">
        <x:v>Pending</x:v>
      </x:c>
      <x:c r="F7" s="19" t="str"/>
    </x:row>
    <x:row r="8" ht="15" hidden="0" customHeight="1">
      <x:c r="A8" s="19" t="str">
        <x:v>E-007</x:v>
      </x:c>
      <x:c r="B8" s="19" t="str">
        <x:v>Terraform</x:v>
      </x:c>
      <x:c r="C8" s="19" t="str">
        <x:v>Validated plan output with IDs removed</x:v>
      </x:c>
      <x:c r="D8" s="19" t="str">
        <x:v>Missing</x:v>
      </x:c>
      <x:c r="E8" s="19" t="str">
        <x:v>Pending</x:v>
      </x:c>
      <x:c r="F8" s="19" t="str"/>
    </x:row>
    <x:row r="9" ht="15" hidden="0" customHeight="1">
      <x:c r="A9" s="19" t="str">
        <x:v>E-008</x:v>
      </x:c>
      <x:c r="B9" s="19" t="str">
        <x:v>Demo</x:v>
      </x:c>
      <x:c r="C9" s="19" t="str">
        <x:v>Short public-safe walkthrough video</x:v>
      </x:c>
      <x:c r="D9" s="19" t="str">
        <x:v>Missing</x:v>
      </x:c>
      <x:c r="E9" s="19" t="str">
        <x:v>Pending</x:v>
      </x:c>
      <x:c r="F9" s="19" t="str"/>
    </x:row>
  </x:sheetData>
  <x:conditionalFormatting sqref="D2:D100">
    <x:cfRule type="expression" dxfId="4" priority="1">
      <x:formula>D2="Available"</x:formula>
    </x:cfRule>
  </x:conditionalFormatting>
  <x:dataValidations count="2">
    <x:dataValidation type="list" sqref="D2:D100">
      <x:formula1>"Missing,In Progress,Available"</x:formula1>
    </x:dataValidation>
    <x:dataValidation type="list" sqref="E2:E100">
      <x:formula1>"Pending,Pass,Fail"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.630001068115234" hidden="0" customWidth="1"/>
    <x:col min="2" max="2" width="4.75" hidden="0" customWidth="1"/>
    <x:col min="4" max="4" width="9.130000114440918" hidden="0" customWidth="1"/>
    <x:col min="5" max="5" width="5.130000114440918" hidden="0" customWidth="1"/>
  </x:cols>
  <x:sheetData>
    <x:row r="1" ht="19.200000762939453" hidden="0" customHeight="1">
      <x:c r="A1" s="22" t="str">
        <x:v>Enterprise Zero Trust Project Dashboard</x:v>
      </x:c>
      <x:c r="B1" s="22"/>
      <x:c r="C1" s="22"/>
      <x:c r="D1" s="22"/>
      <x:c r="E1" s="22"/>
      <x:c r="F1" s="22"/>
    </x:row>
    <x:row r="2" ht="15" hidden="0" customHeight="1">
      <x:c r="A2" s="19"/>
      <x:c r="B2" s="19"/>
      <x:c r="C2" s="19"/>
      <x:c r="D2" s="19"/>
      <x:c r="E2" s="19"/>
      <x:c r="F2" s="19"/>
    </x:row>
    <x:row r="3" ht="15" hidden="0" customHeight="1">
      <x:c r="A3" s="18" t="str">
        <x:v>Metric</x:v>
      </x:c>
      <x:c r="B3" s="18" t="str">
        <x:v>Value</x:v>
      </x:c>
      <x:c r="C3" s="19"/>
      <x:c r="D3" s="18" t="str">
        <x:v>Status</x:v>
      </x:c>
      <x:c r="E3" s="18" t="str">
        <x:v>Count</x:v>
      </x:c>
      <x:c r="F3" s="19"/>
    </x:row>
    <x:row r="4" ht="15" hidden="0" customHeight="1">
      <x:c r="A4" s="19" t="str">
        <x:v>Total Tasks</x:v>
      </x:c>
      <x:c r="B4" s="19" t="n">
        <x:f>COUNTA('Project Plan'!A2:A100)</x:f>
        <x:v>10</x:v>
      </x:c>
      <x:c r="C4" s="19"/>
      <x:c r="D4" s="19" t="str">
        <x:v>Not Started</x:v>
      </x:c>
      <x:c r="E4" s="19" t="n">
        <x:f>COUNTIF('Project Plan'!E2:E100,"Not Started")</x:f>
        <x:v>10</x:v>
      </x:c>
      <x:c r="F4" s="19"/>
    </x:row>
    <x:row r="5" ht="15" hidden="0" customHeight="1">
      <x:c r="A5" s="19" t="str">
        <x:v>Completed Tasks</x:v>
      </x:c>
      <x:c r="B5" s="19" t="n">
        <x:f>COUNTIF('Project Plan'!E2:E100,"Completed")</x:f>
        <x:v>0</x:v>
      </x:c>
      <x:c r="C5" s="19"/>
      <x:c r="D5" s="19" t="str">
        <x:v>In Progress</x:v>
      </x:c>
      <x:c r="E5" s="19" t="n">
        <x:f>COUNTIF('Project Plan'!E2:E100,"In Progress")</x:f>
        <x:v>0</x:v>
      </x:c>
      <x:c r="F5" s="19"/>
    </x:row>
    <x:row r="6" ht="15" hidden="0" customHeight="1">
      <x:c r="A6" s="19" t="str">
        <x:v>Executed Tests</x:v>
      </x:c>
      <x:c r="B6" s="19" t="n">
        <x:f>COUNTIF('Test Cases'!D2:D100,"Pass")+COUNTIF('Test Cases'!D2:D100,"Fail")</x:f>
        <x:v>0</x:v>
      </x:c>
      <x:c r="C6" s="19"/>
      <x:c r="D6" s="19" t="str">
        <x:v>Blocked</x:v>
      </x:c>
      <x:c r="E6" s="19" t="n">
        <x:f>COUNTIF('Project Plan'!E2:E100,"Blocked")</x:f>
        <x:v>0</x:v>
      </x:c>
      <x:c r="F6" s="19"/>
    </x:row>
    <x:row r="7" ht="15" hidden="0" customHeight="1">
      <x:c r="A7" s="19" t="str">
        <x:v>Available Evidence</x:v>
      </x:c>
      <x:c r="B7" s="19" t="n">
        <x:f>COUNTIF('Evidence Tracker'!D2:D100,"Available")</x:f>
        <x:v>0</x:v>
      </x:c>
      <x:c r="C7" s="19"/>
      <x:c r="D7" s="19" t="str">
        <x:v>Completed</x:v>
      </x:c>
      <x:c r="E7" s="19" t="n">
        <x:f>COUNTIF('Project Plan'!E2:E100,"Completed")</x:f>
        <x:v>0</x:v>
      </x:c>
      <x:c r="F7" s="19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ee7da8d6786d42a1"/>
</x:worksheet>
</file>